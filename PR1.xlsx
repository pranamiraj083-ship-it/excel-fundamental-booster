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project\"/>
    </mc:Choice>
  </mc:AlternateContent>
  <xr:revisionPtr revIDLastSave="0" documentId="13_ncr:1_{32701B20-3B61-4F3E-8462-C1B1C7EC351A}" xr6:coauthVersionLast="47" xr6:coauthVersionMax="47" xr10:uidLastSave="{00000000-0000-0000-0000-000000000000}"/>
  <bookViews>
    <workbookView xWindow="-110" yWindow="-110" windowWidth="19420" windowHeight="10300" activeTab="2" xr2:uid="{0370D75E-C2BB-498F-8D96-6804DB11D849}"/>
  </bookViews>
  <sheets>
    <sheet name="students" sheetId="1" r:id="rId1"/>
    <sheet name="high performer" sheetId="2" r:id="rId2"/>
    <sheet name="sales" sheetId="3" r:id="rId3"/>
    <sheet name="employe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Q2" i="3"/>
  <c r="Q2" i="1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N6" i="1"/>
  <c r="N5" i="1"/>
  <c r="N4" i="1"/>
  <c r="H3" i="5"/>
  <c r="H4" i="5"/>
  <c r="H5" i="5"/>
  <c r="H6" i="5"/>
  <c r="H7" i="5"/>
  <c r="H8" i="5"/>
  <c r="H9" i="5"/>
  <c r="I9" i="5" s="1"/>
  <c r="H10" i="5"/>
  <c r="H11" i="5"/>
  <c r="H12" i="5"/>
  <c r="H13" i="5"/>
  <c r="H14" i="5"/>
  <c r="H15" i="5"/>
  <c r="H16" i="5"/>
  <c r="I16" i="5" s="1"/>
  <c r="H17" i="5"/>
  <c r="H18" i="5"/>
  <c r="H19" i="5"/>
  <c r="H20" i="5"/>
  <c r="H2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H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" i="5"/>
  <c r="M3" i="5"/>
  <c r="M2" i="5"/>
  <c r="K3" i="5"/>
  <c r="K2" i="5"/>
  <c r="O6" i="3"/>
  <c r="O4" i="3"/>
  <c r="O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N3" i="1"/>
  <c r="N2" i="1"/>
  <c r="H3" i="1"/>
  <c r="H18" i="1"/>
  <c r="G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G19" i="1"/>
  <c r="H19" i="1" s="1"/>
  <c r="G20" i="1"/>
  <c r="H20" i="1" s="1"/>
  <c r="G21" i="1"/>
  <c r="H21" i="1" s="1"/>
  <c r="G2" i="1"/>
  <c r="H2" i="1" s="1"/>
  <c r="P2" i="1" a="1"/>
  <c r="P2" i="1" l="1"/>
  <c r="A1" i="2" a="1"/>
  <c r="A1" i="2" s="1"/>
  <c r="I8" i="5"/>
  <c r="I14" i="5"/>
  <c r="I6" i="5"/>
  <c r="I21" i="5"/>
  <c r="I13" i="5"/>
  <c r="I5" i="5"/>
  <c r="I17" i="5"/>
  <c r="I20" i="5"/>
  <c r="I12" i="5"/>
  <c r="I4" i="5"/>
  <c r="I3" i="5"/>
  <c r="I18" i="5"/>
  <c r="I10" i="5"/>
  <c r="I2" i="5"/>
  <c r="I11" i="5"/>
  <c r="I19" i="5"/>
  <c r="I15" i="5"/>
  <c r="I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<sst xmlns="http://schemas.openxmlformats.org/spreadsheetml/2006/main" count="180" uniqueCount="132">
  <si>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</si>
  <si>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</si>
  <si>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</si>
  <si>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</si>
  <si>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</si>
  <si>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</si>
  <si>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</si>
  <si>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</si>
  <si>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</si>
  <si>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</si>
  <si>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</si>
  <si>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</si>
  <si>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</si>
  <si>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</si>
  <si>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</si>
  <si>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</si>
  <si>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</si>
  <si>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</si>
  <si>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</si>
  <si>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</si>
  <si>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</si>
  <si>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</si>
  <si>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</si>
  <si>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</si>
  <si>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</si>
  <si>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</si>
  <si>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AVERAGE</t>
  </si>
  <si>
    <t>grade</t>
  </si>
  <si>
    <t>task</t>
  </si>
  <si>
    <t>result</t>
  </si>
  <si>
    <t>students scoring above 60 in math</t>
  </si>
  <si>
    <t>students scoring above 50 in math</t>
  </si>
  <si>
    <t>high performer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</si>
  <si>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</si>
  <si>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</si>
  <si>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</si>
  <si>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</si>
  <si>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</si>
  <si>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</si>
  <si>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</si>
  <si>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</si>
  <si>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</si>
  <si>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</si>
  <si>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</si>
  <si>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</si>
  <si>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</si>
  <si>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</si>
  <si>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</si>
  <si>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</si>
  <si>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</si>
  <si>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</si>
  <si>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</si>
  <si>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</si>
  <si>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</si>
  <si>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</si>
  <si>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</si>
  <si>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</si>
  <si>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</si>
  <si>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</si>
  <si>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</si>
  <si>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</si>
  <si>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</si>
  <si>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</si>
  <si>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</si>
  <si>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</si>
  <si>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</si>
  <si>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</si>
  <si>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</si>
  <si>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region</t>
  </si>
  <si>
    <t>products</t>
  </si>
  <si>
    <t>total_sales</t>
  </si>
  <si>
    <t>south</t>
  </si>
  <si>
    <t>keyboard</t>
  </si>
  <si>
    <t>average sales above 30000</t>
  </si>
  <si>
    <t>retrive in amount using vlookup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</si>
  <si>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</si>
  <si>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</si>
  <si>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</si>
  <si>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</si>
  <si>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</si>
  <si>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</si>
  <si>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</si>
  <si>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</si>
  <si>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</si>
  <si>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</si>
  <si>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</si>
  <si>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</si>
  <si>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</si>
  <si>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</si>
  <si>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</si>
  <si>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</si>
  <si>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</si>
  <si>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</si>
  <si>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</si>
  <si>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</si>
  <si>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</si>
  <si>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</si>
  <si>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</si>
  <si>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</si>
  <si>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</si>
  <si>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</si>
  <si>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</si>
  <si>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ID</t>
  </si>
  <si>
    <t>search employee id</t>
  </si>
  <si>
    <t>salary</t>
  </si>
  <si>
    <t>employee id</t>
  </si>
  <si>
    <t>department</t>
  </si>
  <si>
    <t>years of service</t>
  </si>
  <si>
    <t>joining date</t>
  </si>
  <si>
    <t>reference date</t>
  </si>
  <si>
    <t>days difference</t>
  </si>
  <si>
    <t xml:space="preserve">first word </t>
  </si>
  <si>
    <t xml:space="preserve">uppercase </t>
  </si>
  <si>
    <t>lowercase</t>
  </si>
  <si>
    <t>enrollmet year</t>
  </si>
  <si>
    <t>enrollment month</t>
  </si>
  <si>
    <t>years since enrollment</t>
  </si>
  <si>
    <t>rounded amount</t>
  </si>
  <si>
    <t>rounded up to 1000</t>
  </si>
  <si>
    <t>rounded down to 1000</t>
  </si>
  <si>
    <t>relative sell</t>
  </si>
  <si>
    <t>discount rate</t>
  </si>
  <si>
    <t>dicount amount</t>
  </si>
  <si>
    <t>cell reference</t>
  </si>
  <si>
    <t>value</t>
  </si>
  <si>
    <t>c2</t>
  </si>
  <si>
    <t>new student name(offset function)</t>
  </si>
  <si>
    <t>search product</t>
  </si>
  <si>
    <t>position</t>
  </si>
  <si>
    <t>printer</t>
  </si>
  <si>
    <t>search student id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</si>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</sst>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0" xfId="0" applyNumberFormat="1"/>
    <xf numFmtId="22" fontId="0" fillId="0" borderId="4" xfId="0" applyNumberForma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2" fontId="0" fillId="0" borderId="0" xfId="0" applyNumberFormat="1"/>
    <xf numFmtId="2" fontId="0" fillId="0" borderId="4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E538-DDA8-4142-B116-7BCE6015AA70}">
  <dimension ref="A1:S21"/>
  <sheetViews>
    <sheetView zoomScale="67" workbookViewId="0">
      <selection activeCell="F2" sqref="F2:F21"/>
    </sheetView>
  </sheetViews>
  <sheetFormatPr defaultRowHeight="14.5" x14ac:dyDescent="0.35"/>
  <cols>
    <col min="6" max="6" width="15.1796875" bestFit="1" customWidth="1"/>
    <col min="7" max="7" width="9.08984375" customWidth="1"/>
    <col min="8" max="8" width="9.453125" customWidth="1"/>
    <col min="9" max="11" width="14.90625" customWidth="1"/>
    <col min="12" max="12" width="9.6328125" customWidth="1"/>
    <col min="13" max="13" width="29.6328125" bestFit="1" customWidth="1"/>
    <col min="16" max="16" width="10.81640625" customWidth="1"/>
    <col min="17" max="17" width="14.81640625" customWidth="1"/>
  </cols>
  <sheetData>
    <row r="1" spans="1:19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26</v>
      </c>
      <c r="H1" s="7" t="s">
        <v>27</v>
      </c>
      <c r="I1" s="9" t="s">
        <v>114</v>
      </c>
      <c r="J1" s="9" t="s">
        <v>115</v>
      </c>
      <c r="K1" s="9" t="s">
        <v>116</v>
      </c>
      <c r="L1" s="7" t="s">
        <v>32</v>
      </c>
      <c r="M1" s="8" t="s">
        <v>28</v>
      </c>
      <c r="N1" s="9" t="s">
        <v>29</v>
      </c>
      <c r="O1" s="9" t="s">
        <v>123</v>
      </c>
      <c r="P1" s="9" t="s">
        <v>124</v>
      </c>
      <c r="Q1" s="9" t="s">
        <v>126</v>
      </c>
      <c r="R1" s="9" t="s">
        <v>130</v>
      </c>
      <c r="S1" s="9" t="s">
        <v>131</v>
      </c>
    </row>
    <row r="2" spans="1:19" ht="15" thickBot="1" x14ac:dyDescent="0.4">
      <c r="A2" s="3">
        <v>1001</v>
      </c>
      <c r="B2" s="4" t="s">
        <v>6</v>
      </c>
      <c r="C2" s="14">
        <v>61</v>
      </c>
      <c r="D2" s="14">
        <v>48</v>
      </c>
      <c r="E2" s="14">
        <v>76</v>
      </c>
      <c r="F2" s="15">
        <v>43101</v>
      </c>
      <c r="G2" s="11">
        <f>AVERAGE(C2:E2)</f>
        <v>61.666666666666664</v>
      </c>
      <c r="H2" s="11" t="str">
        <f>IF(G2&gt;=90,"a+",IF(G2&gt;=80,"a+",IF(G2&gt;70,"b",IF(G2&gt;=60,"c","f"))))</f>
        <v>c</v>
      </c>
      <c r="I2" s="11">
        <f>YEAR(F2)</f>
        <v>2018</v>
      </c>
      <c r="J2" s="11">
        <f>MONTH(F2)</f>
        <v>1</v>
      </c>
      <c r="K2" s="11">
        <f ca="1">DATEDIF(F2,TODAY(),"y")</f>
        <v>8</v>
      </c>
      <c r="L2" s="11" t="str">
        <f>IF(AND(C2&gt;80,D2&gt;80),"yes","no")</f>
        <v>no</v>
      </c>
      <c r="M2" s="11" t="s">
        <v>30</v>
      </c>
      <c r="N2" s="11">
        <f>COUNTIF(C2:C21,"&gt;60")</f>
        <v>19</v>
      </c>
      <c r="O2" s="11" t="s">
        <v>125</v>
      </c>
      <c r="P2" s="11" cm="1">
        <f t="array" aca="1" ref="P2" ca="1">INDIRECT(O2)</f>
        <v>61</v>
      </c>
      <c r="Q2" s="11" t="str">
        <f ca="1">OFFSET(B2,1,0)</f>
        <v>Student 2</v>
      </c>
      <c r="R2">
        <v>1017</v>
      </c>
      <c r="S2" t="str">
        <f>VLOOKUP(R2,A1:B21,2,FALSE)</f>
        <v>Student 17</v>
      </c>
    </row>
    <row r="3" spans="1:19" ht="15" thickBot="1" x14ac:dyDescent="0.4">
      <c r="A3" s="3">
        <v>1002</v>
      </c>
      <c r="B3" s="4" t="s">
        <v>7</v>
      </c>
      <c r="C3" s="14">
        <v>78</v>
      </c>
      <c r="D3" s="14">
        <v>76</v>
      </c>
      <c r="E3" s="14">
        <v>70</v>
      </c>
      <c r="F3" s="15">
        <v>43281</v>
      </c>
      <c r="G3" s="11">
        <f t="shared" ref="G3:G21" si="0">AVERAGE(C3:E3)</f>
        <v>74.666666666666671</v>
      </c>
      <c r="H3" s="11" t="str">
        <f t="shared" ref="H3:H21" si="1">IF(G3&gt;=90,"a+",IF(G3&gt;=80,"a+",IF(G3&gt;70,"b",IF(G3&gt;=60,"c","f"))))</f>
        <v>b</v>
      </c>
      <c r="I3" s="11">
        <f>YEAR(F3)</f>
        <v>2018</v>
      </c>
      <c r="J3" s="11">
        <f t="shared" ref="J3:J21" si="2">MONTH(F3)</f>
        <v>6</v>
      </c>
      <c r="K3" s="11">
        <f t="shared" ref="K3:K21" ca="1" si="3">DATEDIF(F3,TODAY(),"y")</f>
        <v>8</v>
      </c>
      <c r="L3" s="11" t="str">
        <f t="shared" ref="L3:L21" si="4">IF(AND(C3&gt;80,D3&gt;80),"yes","no")</f>
        <v>no</v>
      </c>
      <c r="M3" s="11" t="s">
        <v>31</v>
      </c>
      <c r="N3" s="11">
        <f>COUNTIF(C2:C21,"&gt;50")</f>
        <v>19</v>
      </c>
    </row>
    <row r="4" spans="1:19" ht="15" thickBot="1" x14ac:dyDescent="0.4">
      <c r="A4" s="3">
        <v>1003</v>
      </c>
      <c r="B4" s="4" t="s">
        <v>8</v>
      </c>
      <c r="C4" s="14">
        <v>97</v>
      </c>
      <c r="D4" s="14">
        <v>60</v>
      </c>
      <c r="E4" s="14">
        <v>51</v>
      </c>
      <c r="F4" s="15">
        <v>43461</v>
      </c>
      <c r="G4" s="11">
        <f t="shared" si="0"/>
        <v>69.333333333333329</v>
      </c>
      <c r="H4" s="11" t="str">
        <f t="shared" si="1"/>
        <v>c</v>
      </c>
      <c r="I4" s="11">
        <f>YEAR(F4)</f>
        <v>2018</v>
      </c>
      <c r="J4" s="11">
        <f t="shared" si="2"/>
        <v>12</v>
      </c>
      <c r="K4" s="11">
        <f t="shared" ca="1" si="3"/>
        <v>7</v>
      </c>
      <c r="L4" s="11" t="str">
        <f t="shared" si="4"/>
        <v>no</v>
      </c>
      <c r="M4" s="11" t="s">
        <v>111</v>
      </c>
      <c r="N4" s="11" t="str">
        <f>LEFT(B2,FIND(" ",B2)-1)</f>
        <v>Student</v>
      </c>
    </row>
    <row r="5" spans="1:19" ht="15" thickBot="1" x14ac:dyDescent="0.4">
      <c r="A5" s="3">
        <v>1004</v>
      </c>
      <c r="B5" s="4" t="s">
        <v>9</v>
      </c>
      <c r="C5" s="14">
        <v>74</v>
      </c>
      <c r="D5" s="14">
        <v>55</v>
      </c>
      <c r="E5" s="14">
        <v>46</v>
      </c>
      <c r="F5" s="15">
        <v>43641</v>
      </c>
      <c r="G5" s="11">
        <f t="shared" si="0"/>
        <v>58.333333333333336</v>
      </c>
      <c r="H5" s="11" t="str">
        <f t="shared" si="1"/>
        <v>f</v>
      </c>
      <c r="I5" s="11">
        <f>YEAR(F5)</f>
        <v>2019</v>
      </c>
      <c r="J5" s="11">
        <f t="shared" si="2"/>
        <v>6</v>
      </c>
      <c r="K5" s="11">
        <f t="shared" ca="1" si="3"/>
        <v>7</v>
      </c>
      <c r="L5" s="11" t="str">
        <f t="shared" si="4"/>
        <v>no</v>
      </c>
      <c r="M5" s="11" t="s">
        <v>112</v>
      </c>
      <c r="N5" s="11" t="str">
        <f>UPPER(B2)</f>
        <v>STUDENT 1</v>
      </c>
    </row>
    <row r="6" spans="1:19" ht="15" thickBot="1" x14ac:dyDescent="0.4">
      <c r="A6" s="3">
        <v>1005</v>
      </c>
      <c r="B6" s="4" t="s">
        <v>10</v>
      </c>
      <c r="C6" s="14">
        <v>68</v>
      </c>
      <c r="D6" s="14">
        <v>74</v>
      </c>
      <c r="E6" s="14">
        <v>84</v>
      </c>
      <c r="F6" s="15">
        <v>43821</v>
      </c>
      <c r="G6" s="11">
        <f t="shared" si="0"/>
        <v>75.333333333333329</v>
      </c>
      <c r="H6" s="11" t="str">
        <f t="shared" si="1"/>
        <v>b</v>
      </c>
      <c r="I6" s="11">
        <f>YEAR(F6)</f>
        <v>2019</v>
      </c>
      <c r="J6" s="11">
        <f t="shared" si="2"/>
        <v>12</v>
      </c>
      <c r="K6" s="11">
        <f t="shared" ca="1" si="3"/>
        <v>6</v>
      </c>
      <c r="L6" s="11" t="str">
        <f t="shared" si="4"/>
        <v>no</v>
      </c>
      <c r="M6" s="11" t="s">
        <v>113</v>
      </c>
      <c r="N6" s="11" t="str">
        <f>LOWER(B4)</f>
        <v>student 3</v>
      </c>
    </row>
    <row r="7" spans="1:19" ht="15" thickBot="1" x14ac:dyDescent="0.4">
      <c r="A7" s="3">
        <v>1006</v>
      </c>
      <c r="B7" s="4" t="s">
        <v>11</v>
      </c>
      <c r="C7" s="14">
        <v>80</v>
      </c>
      <c r="D7" s="14">
        <v>70</v>
      </c>
      <c r="E7" s="14">
        <v>65</v>
      </c>
      <c r="F7" s="15">
        <v>44001</v>
      </c>
      <c r="G7" s="11">
        <f t="shared" si="0"/>
        <v>71.666666666666671</v>
      </c>
      <c r="H7" s="11" t="str">
        <f t="shared" si="1"/>
        <v>b</v>
      </c>
      <c r="I7" s="11">
        <f>YEAR(F7)</f>
        <v>2020</v>
      </c>
      <c r="J7" s="11">
        <f t="shared" si="2"/>
        <v>6</v>
      </c>
      <c r="K7" s="11">
        <f t="shared" ca="1" si="3"/>
        <v>6</v>
      </c>
      <c r="L7" s="11" t="str">
        <f t="shared" si="4"/>
        <v>no</v>
      </c>
      <c r="M7" s="11"/>
      <c r="N7" s="11"/>
    </row>
    <row r="8" spans="1:19" ht="15" thickBot="1" x14ac:dyDescent="0.4">
      <c r="A8" s="3">
        <v>1007</v>
      </c>
      <c r="B8" s="4" t="s">
        <v>12</v>
      </c>
      <c r="C8" s="14">
        <v>75</v>
      </c>
      <c r="D8" s="14">
        <v>47</v>
      </c>
      <c r="E8" s="14">
        <v>78</v>
      </c>
      <c r="F8" s="15">
        <v>44181</v>
      </c>
      <c r="G8" s="11">
        <f t="shared" si="0"/>
        <v>66.666666666666671</v>
      </c>
      <c r="H8" s="11" t="str">
        <f t="shared" si="1"/>
        <v>c</v>
      </c>
      <c r="I8" s="11">
        <f>YEAR(F8)</f>
        <v>2020</v>
      </c>
      <c r="J8" s="11">
        <f t="shared" si="2"/>
        <v>12</v>
      </c>
      <c r="K8" s="11">
        <f t="shared" ca="1" si="3"/>
        <v>5</v>
      </c>
      <c r="L8" s="11" t="str">
        <f t="shared" si="4"/>
        <v>no</v>
      </c>
      <c r="M8" s="11"/>
      <c r="N8" s="11"/>
    </row>
    <row r="9" spans="1:19" ht="15" thickBot="1" x14ac:dyDescent="0.4">
      <c r="A9" s="3">
        <v>1008</v>
      </c>
      <c r="B9" s="4" t="s">
        <v>13</v>
      </c>
      <c r="C9" s="14">
        <v>94</v>
      </c>
      <c r="D9" s="14">
        <v>67</v>
      </c>
      <c r="E9" s="14">
        <v>64</v>
      </c>
      <c r="F9" s="15">
        <v>44361</v>
      </c>
      <c r="G9" s="11">
        <f t="shared" si="0"/>
        <v>75</v>
      </c>
      <c r="H9" s="11" t="str">
        <f t="shared" si="1"/>
        <v>b</v>
      </c>
      <c r="I9" s="11">
        <f>YEAR(F9)</f>
        <v>2021</v>
      </c>
      <c r="J9" s="11">
        <f t="shared" si="2"/>
        <v>6</v>
      </c>
      <c r="K9" s="11">
        <f t="shared" ca="1" si="3"/>
        <v>5</v>
      </c>
      <c r="L9" s="11" t="str">
        <f t="shared" si="4"/>
        <v>no</v>
      </c>
      <c r="M9" s="11"/>
      <c r="N9" s="11"/>
    </row>
    <row r="10" spans="1:19" ht="15" thickBot="1" x14ac:dyDescent="0.4">
      <c r="A10" s="3">
        <v>1009</v>
      </c>
      <c r="B10" s="4" t="s">
        <v>14</v>
      </c>
      <c r="C10" s="14">
        <v>41</v>
      </c>
      <c r="D10" s="14">
        <v>75</v>
      </c>
      <c r="E10" s="14">
        <v>56</v>
      </c>
      <c r="F10" s="15">
        <v>44541</v>
      </c>
      <c r="G10" s="11">
        <f t="shared" si="0"/>
        <v>57.333333333333336</v>
      </c>
      <c r="H10" s="11" t="str">
        <f t="shared" si="1"/>
        <v>f</v>
      </c>
      <c r="I10" s="11">
        <f>YEAR(F10)</f>
        <v>2021</v>
      </c>
      <c r="J10" s="11">
        <f t="shared" si="2"/>
        <v>12</v>
      </c>
      <c r="K10" s="11">
        <f t="shared" ca="1" si="3"/>
        <v>4</v>
      </c>
      <c r="L10" s="11" t="str">
        <f t="shared" si="4"/>
        <v>no</v>
      </c>
      <c r="M10" s="11"/>
      <c r="N10" s="11"/>
    </row>
    <row r="11" spans="1:19" ht="29.5" thickBot="1" x14ac:dyDescent="0.4">
      <c r="A11" s="3">
        <v>1010</v>
      </c>
      <c r="B11" s="4" t="s">
        <v>15</v>
      </c>
      <c r="C11" s="14">
        <v>98</v>
      </c>
      <c r="D11" s="14">
        <v>54</v>
      </c>
      <c r="E11" s="14">
        <v>58</v>
      </c>
      <c r="F11" s="15">
        <v>44721</v>
      </c>
      <c r="G11" s="11">
        <f t="shared" si="0"/>
        <v>70</v>
      </c>
      <c r="H11" s="11" t="str">
        <f t="shared" si="1"/>
        <v>c</v>
      </c>
      <c r="I11" s="11">
        <f>YEAR(F11)</f>
        <v>2022</v>
      </c>
      <c r="J11" s="11">
        <f t="shared" si="2"/>
        <v>6</v>
      </c>
      <c r="K11" s="11">
        <f t="shared" ca="1" si="3"/>
        <v>4</v>
      </c>
      <c r="L11" s="11" t="str">
        <f t="shared" si="4"/>
        <v>no</v>
      </c>
      <c r="M11" s="11"/>
      <c r="N11" s="11"/>
    </row>
    <row r="12" spans="1:19" ht="29.5" thickBot="1" x14ac:dyDescent="0.4">
      <c r="A12" s="3">
        <v>1011</v>
      </c>
      <c r="B12" s="4" t="s">
        <v>16</v>
      </c>
      <c r="C12" s="14">
        <v>73</v>
      </c>
      <c r="D12" s="14">
        <v>79</v>
      </c>
      <c r="E12" s="14">
        <v>53</v>
      </c>
      <c r="F12" s="15">
        <v>44901</v>
      </c>
      <c r="G12" s="11">
        <f t="shared" si="0"/>
        <v>68.333333333333329</v>
      </c>
      <c r="H12" s="11" t="str">
        <f t="shared" si="1"/>
        <v>c</v>
      </c>
      <c r="I12" s="11">
        <f>YEAR(F12)</f>
        <v>2022</v>
      </c>
      <c r="J12" s="11">
        <f t="shared" si="2"/>
        <v>12</v>
      </c>
      <c r="K12" s="11">
        <f t="shared" ca="1" si="3"/>
        <v>3</v>
      </c>
      <c r="L12" s="11" t="str">
        <f t="shared" si="4"/>
        <v>no</v>
      </c>
      <c r="M12" s="11"/>
      <c r="N12" s="11"/>
    </row>
    <row r="13" spans="1:19" ht="29.5" thickBot="1" x14ac:dyDescent="0.4">
      <c r="A13" s="3">
        <v>1012</v>
      </c>
      <c r="B13" s="4" t="s">
        <v>17</v>
      </c>
      <c r="C13" s="14">
        <v>85</v>
      </c>
      <c r="D13" s="14">
        <v>89</v>
      </c>
      <c r="E13" s="14">
        <v>79</v>
      </c>
      <c r="F13" s="15">
        <v>45081</v>
      </c>
      <c r="G13" s="11">
        <f t="shared" si="0"/>
        <v>84.333333333333329</v>
      </c>
      <c r="H13" s="11" t="str">
        <f t="shared" si="1"/>
        <v>a+</v>
      </c>
      <c r="I13" s="11">
        <f>YEAR(F13)</f>
        <v>2023</v>
      </c>
      <c r="J13" s="11">
        <f t="shared" si="2"/>
        <v>6</v>
      </c>
      <c r="K13" s="11">
        <f t="shared" ca="1" si="3"/>
        <v>3</v>
      </c>
      <c r="L13" s="11" t="str">
        <f t="shared" si="4"/>
        <v>yes</v>
      </c>
      <c r="M13" s="11"/>
      <c r="N13" s="11"/>
    </row>
    <row r="14" spans="1:19" ht="29.5" thickBot="1" x14ac:dyDescent="0.4">
      <c r="A14" s="3">
        <v>1013</v>
      </c>
      <c r="B14" s="4" t="s">
        <v>18</v>
      </c>
      <c r="C14" s="14">
        <v>98</v>
      </c>
      <c r="D14" s="14">
        <v>90</v>
      </c>
      <c r="E14" s="14">
        <v>97</v>
      </c>
      <c r="F14" s="15">
        <v>45261</v>
      </c>
      <c r="G14" s="11">
        <f t="shared" si="0"/>
        <v>95</v>
      </c>
      <c r="H14" s="11" t="str">
        <f t="shared" si="1"/>
        <v>a+</v>
      </c>
      <c r="I14" s="11">
        <f>YEAR(F14)</f>
        <v>2023</v>
      </c>
      <c r="J14" s="11">
        <f t="shared" si="2"/>
        <v>12</v>
      </c>
      <c r="K14" s="11">
        <f t="shared" ca="1" si="3"/>
        <v>2</v>
      </c>
      <c r="L14" s="11" t="str">
        <f t="shared" si="4"/>
        <v>yes</v>
      </c>
      <c r="M14" s="11"/>
      <c r="N14" s="11"/>
    </row>
    <row r="15" spans="1:19" ht="29.5" thickBot="1" x14ac:dyDescent="0.4">
      <c r="A15" s="3">
        <v>1014</v>
      </c>
      <c r="B15" s="4" t="s">
        <v>19</v>
      </c>
      <c r="C15" s="14">
        <v>93</v>
      </c>
      <c r="D15" s="14">
        <v>40</v>
      </c>
      <c r="E15" s="14">
        <v>44</v>
      </c>
      <c r="F15" s="15">
        <v>45441</v>
      </c>
      <c r="G15" s="11">
        <f t="shared" si="0"/>
        <v>59</v>
      </c>
      <c r="H15" s="11" t="str">
        <f t="shared" si="1"/>
        <v>f</v>
      </c>
      <c r="I15" s="11">
        <f>YEAR(F15)</f>
        <v>2024</v>
      </c>
      <c r="J15" s="11">
        <f t="shared" si="2"/>
        <v>5</v>
      </c>
      <c r="K15" s="11">
        <f t="shared" ca="1" si="3"/>
        <v>2</v>
      </c>
      <c r="L15" s="11" t="str">
        <f t="shared" si="4"/>
        <v>no</v>
      </c>
      <c r="M15" s="11"/>
      <c r="N15" s="11"/>
    </row>
    <row r="16" spans="1:19" ht="29.5" thickBot="1" x14ac:dyDescent="0.4">
      <c r="A16" s="3">
        <v>1015</v>
      </c>
      <c r="B16" s="4" t="s">
        <v>20</v>
      </c>
      <c r="C16" s="14">
        <v>70</v>
      </c>
      <c r="D16" s="14">
        <v>51</v>
      </c>
      <c r="E16" s="14">
        <v>75</v>
      </c>
      <c r="F16" s="15">
        <v>45621</v>
      </c>
      <c r="G16" s="11">
        <f t="shared" si="0"/>
        <v>65.333333333333329</v>
      </c>
      <c r="H16" s="11" t="str">
        <f t="shared" si="1"/>
        <v>c</v>
      </c>
      <c r="I16" s="11">
        <f>YEAR(F16)</f>
        <v>2024</v>
      </c>
      <c r="J16" s="11">
        <f t="shared" si="2"/>
        <v>11</v>
      </c>
      <c r="K16" s="11">
        <f t="shared" ca="1" si="3"/>
        <v>1</v>
      </c>
      <c r="L16" s="11" t="str">
        <f t="shared" si="4"/>
        <v>no</v>
      </c>
      <c r="M16" s="11"/>
      <c r="N16" s="11"/>
    </row>
    <row r="17" spans="1:14" ht="29.5" thickBot="1" x14ac:dyDescent="0.4">
      <c r="A17" s="3">
        <v>1016</v>
      </c>
      <c r="B17" s="4" t="s">
        <v>21</v>
      </c>
      <c r="C17" s="14">
        <v>98</v>
      </c>
      <c r="D17" s="14">
        <v>77</v>
      </c>
      <c r="E17" s="14">
        <v>60</v>
      </c>
      <c r="F17" s="15">
        <v>45801</v>
      </c>
      <c r="G17" s="11">
        <f t="shared" si="0"/>
        <v>78.333333333333329</v>
      </c>
      <c r="H17" s="11" t="str">
        <f t="shared" si="1"/>
        <v>b</v>
      </c>
      <c r="I17" s="11">
        <f>YEAR(F17)</f>
        <v>2025</v>
      </c>
      <c r="J17" s="11">
        <f t="shared" si="2"/>
        <v>5</v>
      </c>
      <c r="K17" s="11">
        <f t="shared" ca="1" si="3"/>
        <v>1</v>
      </c>
      <c r="L17" s="11" t="str">
        <f t="shared" si="4"/>
        <v>no</v>
      </c>
      <c r="M17" s="11"/>
      <c r="N17" s="11"/>
    </row>
    <row r="18" spans="1:14" ht="29.5" thickBot="1" x14ac:dyDescent="0.4">
      <c r="A18" s="3">
        <v>1017</v>
      </c>
      <c r="B18" s="4" t="s">
        <v>22</v>
      </c>
      <c r="C18" s="14">
        <v>66</v>
      </c>
      <c r="D18" s="14">
        <v>59</v>
      </c>
      <c r="E18" s="14">
        <v>40</v>
      </c>
      <c r="F18" s="15">
        <v>45981</v>
      </c>
      <c r="G18" s="11">
        <f t="shared" si="0"/>
        <v>55</v>
      </c>
      <c r="H18" s="11" t="str">
        <f t="shared" si="1"/>
        <v>f</v>
      </c>
      <c r="I18" s="11">
        <f>YEAR(F18)</f>
        <v>2025</v>
      </c>
      <c r="J18" s="11">
        <f t="shared" si="2"/>
        <v>11</v>
      </c>
      <c r="K18" s="11">
        <f t="shared" ca="1" si="3"/>
        <v>0</v>
      </c>
      <c r="L18" s="11" t="str">
        <f t="shared" si="4"/>
        <v>no</v>
      </c>
      <c r="M18" s="11"/>
      <c r="N18" s="11"/>
    </row>
    <row r="19" spans="1:14" ht="29.5" thickBot="1" x14ac:dyDescent="0.4">
      <c r="A19" s="3">
        <v>1018</v>
      </c>
      <c r="B19" s="4" t="s">
        <v>23</v>
      </c>
      <c r="C19" s="14">
        <v>82</v>
      </c>
      <c r="D19" s="14">
        <v>48</v>
      </c>
      <c r="E19" s="14">
        <v>79</v>
      </c>
      <c r="F19" s="15">
        <v>46161</v>
      </c>
      <c r="G19" s="11">
        <f t="shared" si="0"/>
        <v>69.666666666666671</v>
      </c>
      <c r="H19" s="11" t="str">
        <f t="shared" si="1"/>
        <v>c</v>
      </c>
      <c r="I19" s="11">
        <f>YEAR(F19)</f>
        <v>2026</v>
      </c>
      <c r="J19" s="11">
        <f t="shared" si="2"/>
        <v>5</v>
      </c>
      <c r="K19" s="11">
        <f t="shared" ca="1" si="3"/>
        <v>0</v>
      </c>
      <c r="L19" s="11" t="str">
        <f t="shared" si="4"/>
        <v>no</v>
      </c>
      <c r="M19" s="11"/>
      <c r="N19" s="11"/>
    </row>
    <row r="20" spans="1:14" ht="29.5" thickBot="1" x14ac:dyDescent="0.4">
      <c r="A20" s="3">
        <v>1019</v>
      </c>
      <c r="B20" s="4" t="s">
        <v>24</v>
      </c>
      <c r="C20" s="14">
        <v>90</v>
      </c>
      <c r="D20" s="14">
        <v>78</v>
      </c>
      <c r="E20" s="14">
        <v>60</v>
      </c>
      <c r="F20" s="15">
        <v>46341</v>
      </c>
      <c r="G20" s="11">
        <f t="shared" si="0"/>
        <v>76</v>
      </c>
      <c r="H20" s="11" t="str">
        <f t="shared" si="1"/>
        <v>b</v>
      </c>
      <c r="I20" s="11">
        <f>YEAR(F20)</f>
        <v>2026</v>
      </c>
      <c r="J20" s="11">
        <f t="shared" si="2"/>
        <v>11</v>
      </c>
      <c r="K20" s="11" t="e">
        <f t="shared" ca="1" si="3"/>
        <v>#NUM!</v>
      </c>
      <c r="L20" s="11" t="str">
        <f t="shared" si="4"/>
        <v>no</v>
      </c>
      <c r="M20" s="11"/>
      <c r="N20" s="11"/>
    </row>
    <row r="21" spans="1:14" ht="29.5" thickBot="1" x14ac:dyDescent="0.4">
      <c r="A21" s="3">
        <v>1020</v>
      </c>
      <c r="B21" s="4" t="s">
        <v>25</v>
      </c>
      <c r="C21" s="14">
        <v>83</v>
      </c>
      <c r="D21" s="14">
        <v>92</v>
      </c>
      <c r="E21" s="14">
        <v>55</v>
      </c>
      <c r="F21" s="15">
        <v>46521</v>
      </c>
      <c r="G21" s="11">
        <f t="shared" si="0"/>
        <v>76.666666666666671</v>
      </c>
      <c r="H21" s="11" t="str">
        <f t="shared" si="1"/>
        <v>b</v>
      </c>
      <c r="I21" s="11">
        <f>YEAR(F21)</f>
        <v>2027</v>
      </c>
      <c r="J21" s="11">
        <f t="shared" si="2"/>
        <v>5</v>
      </c>
      <c r="K21" s="11" t="e">
        <f t="shared" ca="1" si="3"/>
        <v>#NUM!</v>
      </c>
      <c r="L21" s="11" t="str">
        <f t="shared" si="4"/>
        <v>yes</v>
      </c>
      <c r="M21" s="11"/>
      <c r="N21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D809-C496-4578-8C66-A16B4177B39D}">
  <dimension ref="A1:H3"/>
  <sheetViews>
    <sheetView workbookViewId="0">
      <selection activeCell="A2" sqref="A2"/>
    </sheetView>
  </sheetViews>
  <sheetFormatPr defaultRowHeight="14.5" x14ac:dyDescent="0.35"/>
  <sheetData>
    <row r="1" spans="1:8" x14ac:dyDescent="0.35">
      <c r="A1" t="str" cm="1">
        <f t="array" ref="A1:H3">_xlfn._xlws.FILTER(students!A1:H21,students!G1:G21&gt;80,"no students found")</f>
        <v>Student ID</v>
      </c>
      <c r="B1" t="str">
        <v>Name</v>
      </c>
      <c r="C1" t="str">
        <v>Math</v>
      </c>
      <c r="D1" t="str">
        <v>Science</v>
      </c>
      <c r="E1" t="str">
        <v>English</v>
      </c>
      <c r="F1" t="str">
        <v>Enrollment Date</v>
      </c>
      <c r="G1" t="str">
        <v>AVERAGE</v>
      </c>
      <c r="H1" t="str">
        <v>grade</v>
      </c>
    </row>
    <row r="2" spans="1:8" x14ac:dyDescent="0.35">
      <c r="A2">
        <v>1012</v>
      </c>
      <c r="B2" t="str">
        <v>Student 12</v>
      </c>
      <c r="C2">
        <v>85</v>
      </c>
      <c r="D2">
        <v>89</v>
      </c>
      <c r="E2">
        <v>79</v>
      </c>
      <c r="F2">
        <v>45081</v>
      </c>
      <c r="G2">
        <v>84.333333333333329</v>
      </c>
      <c r="H2" t="str">
        <v>a+</v>
      </c>
    </row>
    <row r="3" spans="1:8" x14ac:dyDescent="0.35">
      <c r="A3">
        <v>1013</v>
      </c>
      <c r="B3" t="str">
        <v>Student 13</v>
      </c>
      <c r="C3">
        <v>98</v>
      </c>
      <c r="D3">
        <v>90</v>
      </c>
      <c r="E3">
        <v>97</v>
      </c>
      <c r="F3">
        <v>45261</v>
      </c>
      <c r="G3">
        <v>95</v>
      </c>
      <c r="H3" t="str">
        <v>a+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D024-1FCD-4601-8BEB-CFD0879C6837}">
  <dimension ref="A1:Q22"/>
  <sheetViews>
    <sheetView tabSelected="1" topLeftCell="B1" zoomScale="93" workbookViewId="0">
      <selection activeCell="E2" sqref="E2:E21"/>
    </sheetView>
  </sheetViews>
  <sheetFormatPr defaultRowHeight="14.5" x14ac:dyDescent="0.35"/>
  <cols>
    <col min="6" max="6" width="16.08984375" bestFit="1" customWidth="1"/>
    <col min="7" max="12" width="15.54296875" customWidth="1"/>
    <col min="13" max="13" width="27.7265625" bestFit="1" customWidth="1"/>
    <col min="14" max="14" width="8.26953125" bestFit="1" customWidth="1"/>
    <col min="15" max="15" width="12.26953125" customWidth="1"/>
  </cols>
  <sheetData>
    <row r="1" spans="1:17" ht="29.5" thickBot="1" x14ac:dyDescent="0.4">
      <c r="A1" s="1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7" t="s">
        <v>117</v>
      </c>
      <c r="H1" s="8" t="s">
        <v>118</v>
      </c>
      <c r="I1" s="8" t="s">
        <v>119</v>
      </c>
      <c r="J1" s="9" t="s">
        <v>120</v>
      </c>
      <c r="K1" s="9" t="s">
        <v>121</v>
      </c>
      <c r="L1" s="9" t="s">
        <v>122</v>
      </c>
      <c r="M1" s="8" t="s">
        <v>68</v>
      </c>
      <c r="N1" s="9" t="s">
        <v>69</v>
      </c>
      <c r="O1" s="9" t="s">
        <v>70</v>
      </c>
      <c r="P1" s="9" t="s">
        <v>127</v>
      </c>
      <c r="Q1" s="9" t="s">
        <v>128</v>
      </c>
    </row>
    <row r="2" spans="1:17" ht="15" thickBot="1" x14ac:dyDescent="0.4">
      <c r="A2" s="3">
        <v>2001</v>
      </c>
      <c r="B2" s="4" t="s">
        <v>39</v>
      </c>
      <c r="C2" s="4" t="s">
        <v>40</v>
      </c>
      <c r="D2" s="4" t="s">
        <v>41</v>
      </c>
      <c r="E2" s="14">
        <v>7048</v>
      </c>
      <c r="F2" s="6">
        <v>44927</v>
      </c>
      <c r="G2" s="11">
        <f>ROUND(E2,0)</f>
        <v>7048</v>
      </c>
      <c r="H2" s="11">
        <f>CEILING(E2,1000)</f>
        <v>8000</v>
      </c>
      <c r="I2" s="11">
        <f>FLOOR(E2,1000)</f>
        <v>7000</v>
      </c>
      <c r="J2">
        <f>E2*10%</f>
        <v>704.80000000000007</v>
      </c>
      <c r="K2" s="12">
        <v>0.1</v>
      </c>
      <c r="L2" s="13">
        <f>E2*K2</f>
        <v>704.80000000000007</v>
      </c>
      <c r="M2" s="11" t="s">
        <v>71</v>
      </c>
      <c r="N2" s="11" t="s">
        <v>72</v>
      </c>
      <c r="O2" s="11">
        <f>SUMIFS(E2:E21,C2:C21,M2,B2:B21,N2)</f>
        <v>42233</v>
      </c>
      <c r="P2" t="s">
        <v>129</v>
      </c>
      <c r="Q2">
        <f>_xlfn.XMATCH(P2,B2:B21,0)</f>
        <v>2</v>
      </c>
    </row>
    <row r="3" spans="1:17" ht="15" thickBot="1" x14ac:dyDescent="0.4">
      <c r="A3" s="3">
        <v>2002</v>
      </c>
      <c r="B3" s="4" t="s">
        <v>42</v>
      </c>
      <c r="C3" s="4" t="s">
        <v>43</v>
      </c>
      <c r="D3" s="4" t="s">
        <v>44</v>
      </c>
      <c r="E3" s="14">
        <v>17428</v>
      </c>
      <c r="F3" s="6">
        <v>44942</v>
      </c>
      <c r="G3" s="11">
        <f t="shared" ref="G3:G21" si="0">ROUND(E3,0)</f>
        <v>17428</v>
      </c>
      <c r="H3" s="11">
        <f t="shared" ref="H3:H21" si="1">CEILING(E3,1000)</f>
        <v>18000</v>
      </c>
      <c r="I3" s="11">
        <f t="shared" ref="I3:I21" si="2">FLOOR(E3,1000)</f>
        <v>17000</v>
      </c>
      <c r="J3">
        <f>E3*10%</f>
        <v>1742.8000000000002</v>
      </c>
      <c r="K3" s="12">
        <v>0.1</v>
      </c>
      <c r="L3">
        <f>E3*K2</f>
        <v>1742.8000000000002</v>
      </c>
      <c r="M3" s="11"/>
      <c r="N3" s="11"/>
      <c r="O3" s="11"/>
    </row>
    <row r="4" spans="1:17" ht="15" thickBot="1" x14ac:dyDescent="0.4">
      <c r="A4" s="3">
        <v>2003</v>
      </c>
      <c r="B4" s="4" t="s">
        <v>45</v>
      </c>
      <c r="C4" s="4" t="s">
        <v>40</v>
      </c>
      <c r="D4" s="4" t="s">
        <v>46</v>
      </c>
      <c r="E4" s="14">
        <v>23672</v>
      </c>
      <c r="F4" s="6">
        <v>44957</v>
      </c>
      <c r="G4" s="11">
        <f t="shared" si="0"/>
        <v>23672</v>
      </c>
      <c r="H4" s="11">
        <f t="shared" si="1"/>
        <v>24000</v>
      </c>
      <c r="I4" s="11">
        <f t="shared" si="2"/>
        <v>23000</v>
      </c>
      <c r="J4">
        <f>E4*10%</f>
        <v>2367.2000000000003</v>
      </c>
      <c r="K4" s="12">
        <v>0.1</v>
      </c>
      <c r="L4">
        <f t="shared" ref="L4:L21" si="3">E4*K3</f>
        <v>2367.2000000000003</v>
      </c>
      <c r="M4" s="11" t="s">
        <v>73</v>
      </c>
      <c r="N4" s="11"/>
      <c r="O4" s="11">
        <f>AVERAGEIF(E2:E21,"&gt;30000",E2:E21)</f>
        <v>37101.199999999997</v>
      </c>
    </row>
    <row r="5" spans="1:17" ht="15" thickBot="1" x14ac:dyDescent="0.4">
      <c r="A5" s="3">
        <v>2004</v>
      </c>
      <c r="B5" s="4" t="s">
        <v>42</v>
      </c>
      <c r="C5" s="4" t="s">
        <v>47</v>
      </c>
      <c r="D5" s="4" t="s">
        <v>48</v>
      </c>
      <c r="E5" s="14">
        <v>5264</v>
      </c>
      <c r="F5" s="6">
        <v>44972</v>
      </c>
      <c r="G5" s="11">
        <f t="shared" si="0"/>
        <v>5264</v>
      </c>
      <c r="H5" s="11">
        <f t="shared" si="1"/>
        <v>6000</v>
      </c>
      <c r="I5" s="11">
        <f t="shared" si="2"/>
        <v>5000</v>
      </c>
      <c r="J5">
        <f>E5*10%</f>
        <v>526.4</v>
      </c>
      <c r="K5" s="12">
        <v>0.1</v>
      </c>
      <c r="L5">
        <f t="shared" si="3"/>
        <v>526.4</v>
      </c>
      <c r="M5" s="11"/>
      <c r="N5" s="11"/>
      <c r="O5" s="11"/>
    </row>
    <row r="6" spans="1:17" ht="15" thickBot="1" x14ac:dyDescent="0.4">
      <c r="A6" s="3">
        <v>2005</v>
      </c>
      <c r="B6" s="4" t="s">
        <v>39</v>
      </c>
      <c r="C6" s="4" t="s">
        <v>49</v>
      </c>
      <c r="D6" s="4" t="s">
        <v>50</v>
      </c>
      <c r="E6" s="14">
        <v>43388</v>
      </c>
      <c r="F6" s="6">
        <v>44987</v>
      </c>
      <c r="G6" s="11">
        <f t="shared" si="0"/>
        <v>43388</v>
      </c>
      <c r="H6" s="11">
        <f t="shared" si="1"/>
        <v>44000</v>
      </c>
      <c r="I6" s="11">
        <f t="shared" si="2"/>
        <v>43000</v>
      </c>
      <c r="J6">
        <f>E6*10%</f>
        <v>4338.8</v>
      </c>
      <c r="K6" s="12">
        <v>0.1</v>
      </c>
      <c r="L6">
        <f t="shared" si="3"/>
        <v>4338.8</v>
      </c>
      <c r="M6" s="11" t="s">
        <v>74</v>
      </c>
      <c r="N6" s="11"/>
      <c r="O6" s="11">
        <f>VLOOKUP(B3,B2:E21,4,FALSE)</f>
        <v>17428</v>
      </c>
    </row>
    <row r="7" spans="1:17" ht="15" thickBot="1" x14ac:dyDescent="0.4">
      <c r="A7" s="3">
        <v>2006</v>
      </c>
      <c r="B7" s="4" t="s">
        <v>45</v>
      </c>
      <c r="C7" s="4" t="s">
        <v>49</v>
      </c>
      <c r="D7" s="4" t="s">
        <v>51</v>
      </c>
      <c r="E7" s="14">
        <v>19757</v>
      </c>
      <c r="F7" s="6">
        <v>45002</v>
      </c>
      <c r="G7" s="11">
        <f t="shared" si="0"/>
        <v>19757</v>
      </c>
      <c r="H7" s="11">
        <f t="shared" si="1"/>
        <v>20000</v>
      </c>
      <c r="I7" s="11">
        <f t="shared" si="2"/>
        <v>19000</v>
      </c>
      <c r="J7">
        <f>E7*10%</f>
        <v>1975.7</v>
      </c>
      <c r="K7" s="12">
        <v>0.1</v>
      </c>
      <c r="L7">
        <f t="shared" si="3"/>
        <v>1975.7</v>
      </c>
      <c r="M7" s="11"/>
      <c r="N7" s="11"/>
      <c r="O7" s="11"/>
    </row>
    <row r="8" spans="1:17" ht="15" thickBot="1" x14ac:dyDescent="0.4">
      <c r="A8" s="3">
        <v>2007</v>
      </c>
      <c r="B8" s="4" t="s">
        <v>45</v>
      </c>
      <c r="C8" s="4" t="s">
        <v>47</v>
      </c>
      <c r="D8" s="4" t="s">
        <v>52</v>
      </c>
      <c r="E8" s="14">
        <v>32058</v>
      </c>
      <c r="F8" s="6">
        <v>45017</v>
      </c>
      <c r="G8" s="11">
        <f t="shared" si="0"/>
        <v>32058</v>
      </c>
      <c r="H8" s="11">
        <f t="shared" si="1"/>
        <v>33000</v>
      </c>
      <c r="I8" s="11">
        <f t="shared" si="2"/>
        <v>32000</v>
      </c>
      <c r="J8">
        <f>E8*10%</f>
        <v>3205.8</v>
      </c>
      <c r="K8" s="12">
        <v>0.1</v>
      </c>
      <c r="L8">
        <f t="shared" si="3"/>
        <v>3205.8</v>
      </c>
      <c r="M8" s="11"/>
      <c r="N8" s="11"/>
      <c r="O8" s="11"/>
    </row>
    <row r="9" spans="1:17" ht="15" thickBot="1" x14ac:dyDescent="0.4">
      <c r="A9" s="3">
        <v>2008</v>
      </c>
      <c r="B9" s="4" t="s">
        <v>39</v>
      </c>
      <c r="C9" s="4" t="s">
        <v>47</v>
      </c>
      <c r="D9" s="4" t="s">
        <v>53</v>
      </c>
      <c r="E9" s="14">
        <v>46429</v>
      </c>
      <c r="F9" s="6">
        <v>45032</v>
      </c>
      <c r="G9" s="11">
        <f t="shared" si="0"/>
        <v>46429</v>
      </c>
      <c r="H9" s="11">
        <f t="shared" si="1"/>
        <v>47000</v>
      </c>
      <c r="I9" s="11">
        <f t="shared" si="2"/>
        <v>46000</v>
      </c>
      <c r="J9">
        <f>E9*10%</f>
        <v>4642.9000000000005</v>
      </c>
      <c r="K9" s="12">
        <v>0.1</v>
      </c>
      <c r="L9">
        <f t="shared" si="3"/>
        <v>4642.9000000000005</v>
      </c>
      <c r="M9" s="11"/>
      <c r="N9" s="11"/>
      <c r="O9" s="11"/>
    </row>
    <row r="10" spans="1:17" ht="15" thickBot="1" x14ac:dyDescent="0.4">
      <c r="A10" s="3">
        <v>2009</v>
      </c>
      <c r="B10" s="4" t="s">
        <v>42</v>
      </c>
      <c r="C10" s="4" t="s">
        <v>47</v>
      </c>
      <c r="D10" s="4" t="s">
        <v>54</v>
      </c>
      <c r="E10" s="14">
        <v>19746</v>
      </c>
      <c r="F10" s="6">
        <v>45047</v>
      </c>
      <c r="G10" s="11">
        <f t="shared" si="0"/>
        <v>19746</v>
      </c>
      <c r="H10" s="11">
        <f t="shared" si="1"/>
        <v>20000</v>
      </c>
      <c r="I10" s="11">
        <f t="shared" si="2"/>
        <v>19000</v>
      </c>
      <c r="J10">
        <f>E10*10%</f>
        <v>1974.6000000000001</v>
      </c>
      <c r="K10" s="12">
        <v>0.1</v>
      </c>
      <c r="L10">
        <f t="shared" si="3"/>
        <v>1974.6000000000001</v>
      </c>
      <c r="M10" s="11"/>
      <c r="N10" s="11"/>
      <c r="O10" s="11"/>
    </row>
    <row r="11" spans="1:17" ht="29.5" thickBot="1" x14ac:dyDescent="0.4">
      <c r="A11" s="3">
        <v>2010</v>
      </c>
      <c r="B11" s="4" t="s">
        <v>39</v>
      </c>
      <c r="C11" s="4" t="s">
        <v>40</v>
      </c>
      <c r="D11" s="4" t="s">
        <v>55</v>
      </c>
      <c r="E11" s="14">
        <v>35185</v>
      </c>
      <c r="F11" s="6">
        <v>45062</v>
      </c>
      <c r="G11" s="11">
        <f t="shared" si="0"/>
        <v>35185</v>
      </c>
      <c r="H11" s="11">
        <f t="shared" si="1"/>
        <v>36000</v>
      </c>
      <c r="I11" s="11">
        <f t="shared" si="2"/>
        <v>35000</v>
      </c>
      <c r="J11">
        <f>E11*10%</f>
        <v>3518.5</v>
      </c>
      <c r="K11" s="12">
        <v>0.1</v>
      </c>
      <c r="L11">
        <f t="shared" si="3"/>
        <v>3518.5</v>
      </c>
      <c r="M11" s="11"/>
      <c r="N11" s="11"/>
      <c r="O11" s="11"/>
    </row>
    <row r="12" spans="1:17" ht="29.5" thickBot="1" x14ac:dyDescent="0.4">
      <c r="A12" s="3">
        <v>2011</v>
      </c>
      <c r="B12" s="4" t="s">
        <v>39</v>
      </c>
      <c r="C12" s="4" t="s">
        <v>47</v>
      </c>
      <c r="D12" s="4" t="s">
        <v>56</v>
      </c>
      <c r="E12" s="14">
        <v>33920</v>
      </c>
      <c r="F12" s="6">
        <v>45077</v>
      </c>
      <c r="G12" s="11">
        <f t="shared" si="0"/>
        <v>33920</v>
      </c>
      <c r="H12" s="11">
        <f t="shared" si="1"/>
        <v>34000</v>
      </c>
      <c r="I12" s="11">
        <f t="shared" si="2"/>
        <v>33000</v>
      </c>
      <c r="J12">
        <f>E12*10%</f>
        <v>3392</v>
      </c>
      <c r="K12" s="12">
        <v>0.1</v>
      </c>
      <c r="L12">
        <f t="shared" si="3"/>
        <v>3392</v>
      </c>
      <c r="M12" s="11"/>
      <c r="N12" s="11"/>
      <c r="O12" s="11"/>
    </row>
    <row r="13" spans="1:17" ht="29.5" thickBot="1" x14ac:dyDescent="0.4">
      <c r="A13" s="3">
        <v>2012</v>
      </c>
      <c r="B13" s="4" t="s">
        <v>57</v>
      </c>
      <c r="C13" s="4" t="s">
        <v>49</v>
      </c>
      <c r="D13" s="4" t="s">
        <v>58</v>
      </c>
      <c r="E13" s="14">
        <v>35611</v>
      </c>
      <c r="F13" s="6">
        <v>45092</v>
      </c>
      <c r="G13" s="11">
        <f t="shared" si="0"/>
        <v>35611</v>
      </c>
      <c r="H13" s="11">
        <f t="shared" si="1"/>
        <v>36000</v>
      </c>
      <c r="I13" s="11">
        <f t="shared" si="2"/>
        <v>35000</v>
      </c>
      <c r="J13">
        <f>E13*10%</f>
        <v>3561.1000000000004</v>
      </c>
      <c r="K13" s="12">
        <v>0.1</v>
      </c>
      <c r="L13">
        <f t="shared" si="3"/>
        <v>3561.1000000000004</v>
      </c>
      <c r="M13" s="11"/>
      <c r="N13" s="11"/>
      <c r="O13" s="11"/>
    </row>
    <row r="14" spans="1:17" ht="29.5" thickBot="1" x14ac:dyDescent="0.4">
      <c r="A14" s="3">
        <v>2013</v>
      </c>
      <c r="B14" s="4" t="s">
        <v>59</v>
      </c>
      <c r="C14" s="4" t="s">
        <v>47</v>
      </c>
      <c r="D14" s="4" t="s">
        <v>60</v>
      </c>
      <c r="E14" s="14">
        <v>15560</v>
      </c>
      <c r="F14" s="6">
        <v>45107</v>
      </c>
      <c r="G14" s="11">
        <f t="shared" si="0"/>
        <v>15560</v>
      </c>
      <c r="H14" s="11">
        <f t="shared" si="1"/>
        <v>16000</v>
      </c>
      <c r="I14" s="11">
        <f t="shared" si="2"/>
        <v>15000</v>
      </c>
      <c r="J14">
        <f>E14*10%</f>
        <v>1556</v>
      </c>
      <c r="K14" s="12">
        <v>0.1</v>
      </c>
      <c r="L14">
        <f t="shared" si="3"/>
        <v>1556</v>
      </c>
      <c r="M14" s="11"/>
      <c r="N14" s="11"/>
      <c r="O14" s="11"/>
    </row>
    <row r="15" spans="1:17" ht="29.5" thickBot="1" x14ac:dyDescent="0.4">
      <c r="A15" s="3">
        <v>2014</v>
      </c>
      <c r="B15" s="4" t="s">
        <v>59</v>
      </c>
      <c r="C15" s="4" t="s">
        <v>40</v>
      </c>
      <c r="D15" s="4" t="s">
        <v>61</v>
      </c>
      <c r="E15" s="14">
        <v>7283</v>
      </c>
      <c r="F15" s="6">
        <v>45122</v>
      </c>
      <c r="G15" s="11">
        <f t="shared" si="0"/>
        <v>7283</v>
      </c>
      <c r="H15" s="11">
        <f t="shared" si="1"/>
        <v>8000</v>
      </c>
      <c r="I15" s="11">
        <f t="shared" si="2"/>
        <v>7000</v>
      </c>
      <c r="J15">
        <f>E15*10%</f>
        <v>728.30000000000007</v>
      </c>
      <c r="K15" s="12">
        <v>0.1</v>
      </c>
      <c r="L15">
        <f t="shared" si="3"/>
        <v>728.30000000000007</v>
      </c>
      <c r="M15" s="11"/>
      <c r="N15" s="11"/>
      <c r="O15" s="11"/>
    </row>
    <row r="16" spans="1:17" ht="29.5" thickBot="1" x14ac:dyDescent="0.4">
      <c r="A16" s="3">
        <v>2015</v>
      </c>
      <c r="B16" s="4" t="s">
        <v>59</v>
      </c>
      <c r="C16" s="4" t="s">
        <v>47</v>
      </c>
      <c r="D16" s="4" t="s">
        <v>62</v>
      </c>
      <c r="E16" s="14">
        <v>15678</v>
      </c>
      <c r="F16" s="6">
        <v>45137</v>
      </c>
      <c r="G16" s="11">
        <f t="shared" si="0"/>
        <v>15678</v>
      </c>
      <c r="H16" s="11">
        <f t="shared" si="1"/>
        <v>16000</v>
      </c>
      <c r="I16" s="11">
        <f t="shared" si="2"/>
        <v>15000</v>
      </c>
      <c r="J16">
        <f>E16*10%</f>
        <v>1567.8000000000002</v>
      </c>
      <c r="K16" s="12">
        <v>0.1</v>
      </c>
      <c r="L16">
        <f t="shared" si="3"/>
        <v>1567.8000000000002</v>
      </c>
      <c r="M16" s="11"/>
      <c r="N16" s="11"/>
      <c r="O16" s="11"/>
    </row>
    <row r="17" spans="1:15" ht="29.5" thickBot="1" x14ac:dyDescent="0.4">
      <c r="A17" s="3">
        <v>2016</v>
      </c>
      <c r="B17" s="4" t="s">
        <v>45</v>
      </c>
      <c r="C17" s="4" t="s">
        <v>47</v>
      </c>
      <c r="D17" s="4" t="s">
        <v>63</v>
      </c>
      <c r="E17" s="14">
        <v>5277</v>
      </c>
      <c r="F17" s="6">
        <v>45152</v>
      </c>
      <c r="G17" s="11">
        <f t="shared" si="0"/>
        <v>5277</v>
      </c>
      <c r="H17" s="11">
        <f t="shared" si="1"/>
        <v>6000</v>
      </c>
      <c r="I17" s="11">
        <f t="shared" si="2"/>
        <v>5000</v>
      </c>
      <c r="J17">
        <f>E17*10%</f>
        <v>527.70000000000005</v>
      </c>
      <c r="K17" s="12">
        <v>0.1</v>
      </c>
      <c r="L17">
        <f t="shared" si="3"/>
        <v>527.70000000000005</v>
      </c>
      <c r="M17" s="11"/>
      <c r="N17" s="11"/>
      <c r="O17" s="11"/>
    </row>
    <row r="18" spans="1:15" ht="29.5" thickBot="1" x14ac:dyDescent="0.4">
      <c r="A18" s="3">
        <v>2017</v>
      </c>
      <c r="B18" s="4" t="s">
        <v>57</v>
      </c>
      <c r="C18" s="4" t="s">
        <v>49</v>
      </c>
      <c r="D18" s="4" t="s">
        <v>64</v>
      </c>
      <c r="E18" s="14">
        <v>41871</v>
      </c>
      <c r="F18" s="6">
        <v>45167</v>
      </c>
      <c r="G18" s="11">
        <f t="shared" si="0"/>
        <v>41871</v>
      </c>
      <c r="H18" s="11">
        <f t="shared" si="1"/>
        <v>42000</v>
      </c>
      <c r="I18" s="11">
        <f t="shared" si="2"/>
        <v>41000</v>
      </c>
      <c r="J18">
        <f>E18*10%</f>
        <v>4187.1000000000004</v>
      </c>
      <c r="K18" s="12">
        <v>0.1</v>
      </c>
      <c r="L18">
        <f t="shared" si="3"/>
        <v>4187.1000000000004</v>
      </c>
      <c r="M18" s="11"/>
      <c r="N18" s="11"/>
      <c r="O18" s="11"/>
    </row>
    <row r="19" spans="1:15" ht="29.5" thickBot="1" x14ac:dyDescent="0.4">
      <c r="A19" s="3">
        <v>2018</v>
      </c>
      <c r="B19" s="4" t="s">
        <v>57</v>
      </c>
      <c r="C19" s="4" t="s">
        <v>43</v>
      </c>
      <c r="D19" s="4" t="s">
        <v>65</v>
      </c>
      <c r="E19" s="14">
        <v>38161</v>
      </c>
      <c r="F19" s="6">
        <v>45182</v>
      </c>
      <c r="G19" s="11">
        <f t="shared" si="0"/>
        <v>38161</v>
      </c>
      <c r="H19" s="11">
        <f t="shared" si="1"/>
        <v>39000</v>
      </c>
      <c r="I19" s="11">
        <f t="shared" si="2"/>
        <v>38000</v>
      </c>
      <c r="J19">
        <f>E19*10%</f>
        <v>3816.1000000000004</v>
      </c>
      <c r="K19" s="12">
        <v>0.1</v>
      </c>
      <c r="L19">
        <f t="shared" si="3"/>
        <v>3816.1000000000004</v>
      </c>
      <c r="M19" s="11"/>
      <c r="N19" s="11"/>
      <c r="O19" s="11"/>
    </row>
    <row r="20" spans="1:15" ht="29.5" thickBot="1" x14ac:dyDescent="0.4">
      <c r="A20" s="3">
        <v>2019</v>
      </c>
      <c r="B20" s="4" t="s">
        <v>45</v>
      </c>
      <c r="C20" s="4" t="s">
        <v>43</v>
      </c>
      <c r="D20" s="4" t="s">
        <v>66</v>
      </c>
      <c r="E20" s="14">
        <v>30436</v>
      </c>
      <c r="F20" s="6">
        <v>45197</v>
      </c>
      <c r="G20" s="11">
        <f t="shared" si="0"/>
        <v>30436</v>
      </c>
      <c r="H20" s="11">
        <f t="shared" si="1"/>
        <v>31000</v>
      </c>
      <c r="I20" s="11">
        <f t="shared" si="2"/>
        <v>30000</v>
      </c>
      <c r="J20">
        <f>E20*10%</f>
        <v>3043.6000000000004</v>
      </c>
      <c r="K20" s="12">
        <v>0.1</v>
      </c>
      <c r="L20">
        <f t="shared" si="3"/>
        <v>3043.6000000000004</v>
      </c>
      <c r="M20" s="11"/>
      <c r="N20" s="11"/>
      <c r="O20" s="11"/>
    </row>
    <row r="21" spans="1:15" ht="29.5" thickBot="1" x14ac:dyDescent="0.4">
      <c r="A21" s="3">
        <v>2020</v>
      </c>
      <c r="B21" s="4" t="s">
        <v>42</v>
      </c>
      <c r="C21" s="4" t="s">
        <v>43</v>
      </c>
      <c r="D21" s="4" t="s">
        <v>67</v>
      </c>
      <c r="E21" s="14">
        <v>33953</v>
      </c>
      <c r="F21" s="6">
        <v>45212</v>
      </c>
      <c r="G21" s="11">
        <f t="shared" si="0"/>
        <v>33953</v>
      </c>
      <c r="H21" s="11">
        <f t="shared" si="1"/>
        <v>34000</v>
      </c>
      <c r="I21" s="11">
        <f t="shared" si="2"/>
        <v>33000</v>
      </c>
      <c r="J21">
        <f>E21*10%</f>
        <v>3395.3</v>
      </c>
      <c r="K21" s="12">
        <v>0.1</v>
      </c>
      <c r="L21">
        <f t="shared" si="3"/>
        <v>3395.3</v>
      </c>
      <c r="M21" s="11"/>
      <c r="N21" s="11"/>
      <c r="O21" s="11"/>
    </row>
    <row r="22" spans="1:15" x14ac:dyDescent="0.35">
      <c r="K2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EAA3-0C47-4CB5-AF4E-E3BC221D938E}">
  <dimension ref="A1:M21"/>
  <sheetViews>
    <sheetView zoomScale="81" workbookViewId="0">
      <selection activeCell="D2" sqref="D2:D21"/>
    </sheetView>
  </sheetViews>
  <sheetFormatPr defaultRowHeight="14.5" x14ac:dyDescent="0.35"/>
  <cols>
    <col min="1" max="1" width="11.36328125" customWidth="1"/>
    <col min="2" max="2" width="14.7265625" customWidth="1"/>
    <col min="3" max="3" width="11.453125" customWidth="1"/>
    <col min="4" max="4" width="9.6328125" bestFit="1" customWidth="1"/>
    <col min="5" max="5" width="17.26953125" customWidth="1"/>
    <col min="6" max="9" width="18.54296875" customWidth="1"/>
    <col min="10" max="10" width="17.26953125" customWidth="1"/>
    <col min="11" max="11" width="11.1796875" customWidth="1"/>
    <col min="12" max="12" width="12.08984375" customWidth="1"/>
    <col min="13" max="13" width="10.90625" bestFit="1" customWidth="1"/>
    <col min="14" max="14" width="15.1796875" bestFit="1" customWidth="1"/>
    <col min="15" max="15" width="10.08984375" bestFit="1" customWidth="1"/>
  </cols>
  <sheetData>
    <row r="1" spans="1:13" ht="15" thickBot="1" x14ac:dyDescent="0.4">
      <c r="A1" s="1" t="s">
        <v>102</v>
      </c>
      <c r="B1" s="2" t="s">
        <v>1</v>
      </c>
      <c r="C1" s="2" t="s">
        <v>75</v>
      </c>
      <c r="D1" s="2" t="s">
        <v>76</v>
      </c>
      <c r="E1" s="2" t="s">
        <v>77</v>
      </c>
      <c r="F1" s="7" t="s">
        <v>107</v>
      </c>
      <c r="G1" s="9" t="s">
        <v>108</v>
      </c>
      <c r="H1" s="9" t="s">
        <v>109</v>
      </c>
      <c r="I1" s="9" t="s">
        <v>110</v>
      </c>
      <c r="J1" s="8" t="s">
        <v>103</v>
      </c>
      <c r="K1" s="9" t="s">
        <v>104</v>
      </c>
      <c r="L1" s="9" t="s">
        <v>105</v>
      </c>
      <c r="M1" s="9" t="s">
        <v>106</v>
      </c>
    </row>
    <row r="2" spans="1:13" ht="15" thickBot="1" x14ac:dyDescent="0.4">
      <c r="A2" s="3">
        <v>3001</v>
      </c>
      <c r="B2" s="4" t="s">
        <v>78</v>
      </c>
      <c r="C2" s="4" t="s">
        <v>79</v>
      </c>
      <c r="D2" s="14">
        <v>86766</v>
      </c>
      <c r="E2" s="6">
        <v>42005</v>
      </c>
      <c r="F2">
        <f ca="1">DATEDIF(E2,TODAY(),"Y")</f>
        <v>11</v>
      </c>
      <c r="G2" s="5">
        <f>E2</f>
        <v>42005</v>
      </c>
      <c r="H2" s="10">
        <f ca="1">TODAY()</f>
        <v>46317</v>
      </c>
      <c r="I2">
        <f ca="1">H2-G2</f>
        <v>4312</v>
      </c>
      <c r="J2">
        <v>3010</v>
      </c>
      <c r="K2">
        <f>_xlfn.XLOOKUP(J2,A2:A21,D2:D21,"employee not found")</f>
        <v>107877</v>
      </c>
      <c r="L2">
        <v>3011</v>
      </c>
      <c r="M2" t="str">
        <f>INDEX(C2:C21,MATCH(L2,A2:A21,0))</f>
        <v>Finance</v>
      </c>
    </row>
    <row r="3" spans="1:13" ht="15" thickBot="1" x14ac:dyDescent="0.4">
      <c r="A3" s="3">
        <v>3002</v>
      </c>
      <c r="B3" s="4" t="s">
        <v>80</v>
      </c>
      <c r="C3" s="4" t="s">
        <v>79</v>
      </c>
      <c r="D3" s="14">
        <v>31943</v>
      </c>
      <c r="E3" s="6">
        <v>42255</v>
      </c>
      <c r="F3">
        <f t="shared" ref="F3:F21" ca="1" si="0">DATEDIF(E3,TODAY(),"Y")</f>
        <v>11</v>
      </c>
      <c r="G3" s="5">
        <f>E3</f>
        <v>42255</v>
      </c>
      <c r="H3" s="10">
        <f t="shared" ref="H3:H21" ca="1" si="1">TODAY()</f>
        <v>46317</v>
      </c>
      <c r="I3">
        <f t="shared" ref="I3:I21" ca="1" si="2">H3-G3</f>
        <v>4062</v>
      </c>
      <c r="J3">
        <v>3015</v>
      </c>
      <c r="K3">
        <f>_xlfn.XLOOKUP(J3,A3:A22,D3:D22,"employee not found")</f>
        <v>63297</v>
      </c>
      <c r="L3">
        <v>3003</v>
      </c>
      <c r="M3" t="str">
        <f>INDEX(C3:C22,MATCH(L3,A3:A22,0))</f>
        <v>HR</v>
      </c>
    </row>
    <row r="4" spans="1:13" ht="15" thickBot="1" x14ac:dyDescent="0.4">
      <c r="A4" s="3">
        <v>3003</v>
      </c>
      <c r="B4" s="4" t="s">
        <v>81</v>
      </c>
      <c r="C4" s="4" t="s">
        <v>82</v>
      </c>
      <c r="D4" s="14">
        <v>63374</v>
      </c>
      <c r="E4" s="6">
        <v>42505</v>
      </c>
      <c r="F4">
        <f t="shared" ca="1" si="0"/>
        <v>10</v>
      </c>
      <c r="G4" s="5">
        <f>E4</f>
        <v>42505</v>
      </c>
      <c r="H4" s="10">
        <f t="shared" ca="1" si="1"/>
        <v>46317</v>
      </c>
      <c r="I4">
        <f t="shared" ca="1" si="2"/>
        <v>3812</v>
      </c>
    </row>
    <row r="5" spans="1:13" ht="15" thickBot="1" x14ac:dyDescent="0.4">
      <c r="A5" s="3">
        <v>3004</v>
      </c>
      <c r="B5" s="4" t="s">
        <v>83</v>
      </c>
      <c r="C5" s="4" t="s">
        <v>79</v>
      </c>
      <c r="D5" s="14">
        <v>109972</v>
      </c>
      <c r="E5" s="6">
        <v>42755</v>
      </c>
      <c r="F5">
        <f t="shared" ca="1" si="0"/>
        <v>9</v>
      </c>
      <c r="G5" s="5">
        <f>E5</f>
        <v>42755</v>
      </c>
      <c r="H5" s="10">
        <f t="shared" ca="1" si="1"/>
        <v>46317</v>
      </c>
      <c r="I5">
        <f t="shared" ca="1" si="2"/>
        <v>3562</v>
      </c>
    </row>
    <row r="6" spans="1:13" ht="15" thickBot="1" x14ac:dyDescent="0.4">
      <c r="A6" s="3">
        <v>3005</v>
      </c>
      <c r="B6" s="4" t="s">
        <v>84</v>
      </c>
      <c r="C6" s="4" t="s">
        <v>85</v>
      </c>
      <c r="D6" s="14">
        <v>54149</v>
      </c>
      <c r="E6" s="6">
        <v>43005</v>
      </c>
      <c r="F6">
        <f t="shared" ca="1" si="0"/>
        <v>9</v>
      </c>
      <c r="G6" s="5">
        <f>E6</f>
        <v>43005</v>
      </c>
      <c r="H6" s="10">
        <f t="shared" ca="1" si="1"/>
        <v>46317</v>
      </c>
      <c r="I6">
        <f t="shared" ca="1" si="2"/>
        <v>3312</v>
      </c>
    </row>
    <row r="7" spans="1:13" ht="15" thickBot="1" x14ac:dyDescent="0.4">
      <c r="A7" s="3">
        <v>3006</v>
      </c>
      <c r="B7" s="4" t="s">
        <v>86</v>
      </c>
      <c r="C7" s="4" t="s">
        <v>85</v>
      </c>
      <c r="D7" s="14">
        <v>78689</v>
      </c>
      <c r="E7" s="6">
        <v>43255</v>
      </c>
      <c r="F7">
        <f t="shared" ca="1" si="0"/>
        <v>8</v>
      </c>
      <c r="G7" s="5">
        <f>E7</f>
        <v>43255</v>
      </c>
      <c r="H7" s="10">
        <f t="shared" ca="1" si="1"/>
        <v>46317</v>
      </c>
      <c r="I7">
        <f t="shared" ca="1" si="2"/>
        <v>3062</v>
      </c>
    </row>
    <row r="8" spans="1:13" ht="15" thickBot="1" x14ac:dyDescent="0.4">
      <c r="A8" s="3">
        <v>3007</v>
      </c>
      <c r="B8" s="4" t="s">
        <v>87</v>
      </c>
      <c r="C8" s="4" t="s">
        <v>88</v>
      </c>
      <c r="D8" s="14">
        <v>35960</v>
      </c>
      <c r="E8" s="6">
        <v>43505</v>
      </c>
      <c r="F8">
        <f t="shared" ca="1" si="0"/>
        <v>7</v>
      </c>
      <c r="G8" s="5">
        <f>E8</f>
        <v>43505</v>
      </c>
      <c r="H8" s="10">
        <f t="shared" ca="1" si="1"/>
        <v>46317</v>
      </c>
      <c r="I8">
        <f t="shared" ca="1" si="2"/>
        <v>2812</v>
      </c>
    </row>
    <row r="9" spans="1:13" ht="15" thickBot="1" x14ac:dyDescent="0.4">
      <c r="A9" s="3">
        <v>3008</v>
      </c>
      <c r="B9" s="4" t="s">
        <v>89</v>
      </c>
      <c r="C9" s="4" t="s">
        <v>85</v>
      </c>
      <c r="D9" s="14">
        <v>91659</v>
      </c>
      <c r="E9" s="6">
        <v>43755</v>
      </c>
      <c r="F9">
        <f t="shared" ca="1" si="0"/>
        <v>7</v>
      </c>
      <c r="G9" s="5">
        <f>E9</f>
        <v>43755</v>
      </c>
      <c r="H9" s="10">
        <f t="shared" ca="1" si="1"/>
        <v>46317</v>
      </c>
      <c r="I9">
        <f t="shared" ca="1" si="2"/>
        <v>2562</v>
      </c>
    </row>
    <row r="10" spans="1:13" ht="15" thickBot="1" x14ac:dyDescent="0.4">
      <c r="A10" s="3">
        <v>3009</v>
      </c>
      <c r="B10" s="4" t="s">
        <v>90</v>
      </c>
      <c r="C10" s="4" t="s">
        <v>85</v>
      </c>
      <c r="D10" s="14">
        <v>90423</v>
      </c>
      <c r="E10" s="6">
        <v>44005</v>
      </c>
      <c r="F10">
        <f t="shared" ca="1" si="0"/>
        <v>6</v>
      </c>
      <c r="G10" s="5">
        <f>E10</f>
        <v>44005</v>
      </c>
      <c r="H10" s="10">
        <f t="shared" ca="1" si="1"/>
        <v>46317</v>
      </c>
      <c r="I10">
        <f t="shared" ca="1" si="2"/>
        <v>2312</v>
      </c>
    </row>
    <row r="11" spans="1:13" ht="15" thickBot="1" x14ac:dyDescent="0.4">
      <c r="A11" s="3">
        <v>3010</v>
      </c>
      <c r="B11" s="4" t="s">
        <v>91</v>
      </c>
      <c r="C11" s="4" t="s">
        <v>82</v>
      </c>
      <c r="D11" s="14">
        <v>107877</v>
      </c>
      <c r="E11" s="6">
        <v>44255</v>
      </c>
      <c r="F11">
        <f t="shared" ca="1" si="0"/>
        <v>5</v>
      </c>
      <c r="G11" s="5">
        <f>E11</f>
        <v>44255</v>
      </c>
      <c r="H11" s="10">
        <f t="shared" ca="1" si="1"/>
        <v>46317</v>
      </c>
      <c r="I11">
        <f t="shared" ca="1" si="2"/>
        <v>2062</v>
      </c>
    </row>
    <row r="12" spans="1:13" ht="15" thickBot="1" x14ac:dyDescent="0.4">
      <c r="A12" s="3">
        <v>3011</v>
      </c>
      <c r="B12" s="4" t="s">
        <v>92</v>
      </c>
      <c r="C12" s="4" t="s">
        <v>79</v>
      </c>
      <c r="D12" s="14">
        <v>107634</v>
      </c>
      <c r="E12" s="6">
        <v>44505</v>
      </c>
      <c r="F12">
        <f t="shared" ca="1" si="0"/>
        <v>4</v>
      </c>
      <c r="G12" s="5">
        <f>E12</f>
        <v>44505</v>
      </c>
      <c r="H12" s="10">
        <f t="shared" ca="1" si="1"/>
        <v>46317</v>
      </c>
      <c r="I12">
        <f t="shared" ca="1" si="2"/>
        <v>1812</v>
      </c>
    </row>
    <row r="13" spans="1:13" ht="15" thickBot="1" x14ac:dyDescent="0.4">
      <c r="A13" s="3">
        <v>3012</v>
      </c>
      <c r="B13" s="4" t="s">
        <v>93</v>
      </c>
      <c r="C13" s="4" t="s">
        <v>79</v>
      </c>
      <c r="D13" s="14">
        <v>35226</v>
      </c>
      <c r="E13" s="6">
        <v>44755</v>
      </c>
      <c r="F13">
        <f t="shared" ca="1" si="0"/>
        <v>4</v>
      </c>
      <c r="G13" s="5">
        <f>E13</f>
        <v>44755</v>
      </c>
      <c r="H13" s="10">
        <f t="shared" ca="1" si="1"/>
        <v>46317</v>
      </c>
      <c r="I13">
        <f t="shared" ca="1" si="2"/>
        <v>1562</v>
      </c>
    </row>
    <row r="14" spans="1:13" ht="15" thickBot="1" x14ac:dyDescent="0.4">
      <c r="A14" s="3">
        <v>3013</v>
      </c>
      <c r="B14" s="4" t="s">
        <v>94</v>
      </c>
      <c r="C14" s="4" t="s">
        <v>82</v>
      </c>
      <c r="D14" s="14">
        <v>40872</v>
      </c>
      <c r="E14" s="6">
        <v>45005</v>
      </c>
      <c r="F14">
        <f t="shared" ca="1" si="0"/>
        <v>3</v>
      </c>
      <c r="G14" s="5">
        <f>E14</f>
        <v>45005</v>
      </c>
      <c r="H14" s="10">
        <f t="shared" ca="1" si="1"/>
        <v>46317</v>
      </c>
      <c r="I14">
        <f t="shared" ca="1" si="2"/>
        <v>1312</v>
      </c>
    </row>
    <row r="15" spans="1:13" ht="15" thickBot="1" x14ac:dyDescent="0.4">
      <c r="A15" s="3">
        <v>3014</v>
      </c>
      <c r="B15" s="4" t="s">
        <v>95</v>
      </c>
      <c r="C15" s="4" t="s">
        <v>82</v>
      </c>
      <c r="D15" s="14">
        <v>55378</v>
      </c>
      <c r="E15" s="6">
        <v>45255</v>
      </c>
      <c r="F15">
        <f t="shared" ca="1" si="0"/>
        <v>2</v>
      </c>
      <c r="G15" s="5">
        <f>E15</f>
        <v>45255</v>
      </c>
      <c r="H15" s="10">
        <f t="shared" ca="1" si="1"/>
        <v>46317</v>
      </c>
      <c r="I15">
        <f t="shared" ca="1" si="2"/>
        <v>1062</v>
      </c>
    </row>
    <row r="16" spans="1:13" ht="15" thickBot="1" x14ac:dyDescent="0.4">
      <c r="A16" s="3">
        <v>3015</v>
      </c>
      <c r="B16" s="4" t="s">
        <v>96</v>
      </c>
      <c r="C16" s="4" t="s">
        <v>82</v>
      </c>
      <c r="D16" s="14">
        <v>63297</v>
      </c>
      <c r="E16" s="6">
        <v>45505</v>
      </c>
      <c r="F16">
        <f t="shared" ca="1" si="0"/>
        <v>2</v>
      </c>
      <c r="G16" s="5">
        <f>E16</f>
        <v>45505</v>
      </c>
      <c r="H16" s="10">
        <f t="shared" ca="1" si="1"/>
        <v>46317</v>
      </c>
      <c r="I16">
        <f t="shared" ca="1" si="2"/>
        <v>812</v>
      </c>
    </row>
    <row r="17" spans="1:9" ht="15" thickBot="1" x14ac:dyDescent="0.4">
      <c r="A17" s="3">
        <v>3016</v>
      </c>
      <c r="B17" s="4" t="s">
        <v>97</v>
      </c>
      <c r="C17" s="4" t="s">
        <v>79</v>
      </c>
      <c r="D17" s="14">
        <v>114173</v>
      </c>
      <c r="E17" s="6">
        <v>45755</v>
      </c>
      <c r="F17">
        <f t="shared" ca="1" si="0"/>
        <v>1</v>
      </c>
      <c r="G17" s="5">
        <f>E17</f>
        <v>45755</v>
      </c>
      <c r="H17" s="10">
        <f t="shared" ca="1" si="1"/>
        <v>46317</v>
      </c>
      <c r="I17">
        <f t="shared" ca="1" si="2"/>
        <v>562</v>
      </c>
    </row>
    <row r="18" spans="1:9" ht="15" thickBot="1" x14ac:dyDescent="0.4">
      <c r="A18" s="3">
        <v>3017</v>
      </c>
      <c r="B18" s="4" t="s">
        <v>98</v>
      </c>
      <c r="C18" s="4" t="s">
        <v>82</v>
      </c>
      <c r="D18" s="14">
        <v>86915</v>
      </c>
      <c r="E18" s="6">
        <v>46005</v>
      </c>
      <c r="F18">
        <f t="shared" ca="1" si="0"/>
        <v>0</v>
      </c>
      <c r="G18" s="5">
        <f>E18</f>
        <v>46005</v>
      </c>
      <c r="H18" s="10">
        <f t="shared" ca="1" si="1"/>
        <v>46317</v>
      </c>
      <c r="I18">
        <f t="shared" ca="1" si="2"/>
        <v>312</v>
      </c>
    </row>
    <row r="19" spans="1:9" ht="15" thickBot="1" x14ac:dyDescent="0.4">
      <c r="A19" s="3">
        <v>3018</v>
      </c>
      <c r="B19" s="4" t="s">
        <v>99</v>
      </c>
      <c r="C19" s="4" t="s">
        <v>85</v>
      </c>
      <c r="D19" s="14">
        <v>116284</v>
      </c>
      <c r="E19" s="6">
        <v>46255</v>
      </c>
      <c r="F19">
        <f t="shared" ca="1" si="0"/>
        <v>0</v>
      </c>
      <c r="G19" s="5">
        <f>E19</f>
        <v>46255</v>
      </c>
      <c r="H19" s="10">
        <f t="shared" ca="1" si="1"/>
        <v>46317</v>
      </c>
      <c r="I19">
        <f t="shared" ca="1" si="2"/>
        <v>62</v>
      </c>
    </row>
    <row r="20" spans="1:9" ht="15" thickBot="1" x14ac:dyDescent="0.4">
      <c r="A20" s="3">
        <v>3019</v>
      </c>
      <c r="B20" s="4" t="s">
        <v>100</v>
      </c>
      <c r="C20" s="4" t="s">
        <v>88</v>
      </c>
      <c r="D20" s="14">
        <v>116283</v>
      </c>
      <c r="E20" s="6">
        <v>46505</v>
      </c>
      <c r="F20" t="e">
        <f t="shared" ca="1" si="0"/>
        <v>#NUM!</v>
      </c>
      <c r="G20" s="5">
        <f>E20</f>
        <v>46505</v>
      </c>
      <c r="H20" s="10">
        <f t="shared" ca="1" si="1"/>
        <v>46317</v>
      </c>
      <c r="I20">
        <f t="shared" ca="1" si="2"/>
        <v>-188</v>
      </c>
    </row>
    <row r="21" spans="1:9" ht="15" thickBot="1" x14ac:dyDescent="0.4">
      <c r="A21" s="3">
        <v>3020</v>
      </c>
      <c r="B21" s="4" t="s">
        <v>101</v>
      </c>
      <c r="C21" s="4" t="s">
        <v>88</v>
      </c>
      <c r="D21" s="14">
        <v>99924</v>
      </c>
      <c r="E21" s="6">
        <v>46755</v>
      </c>
      <c r="F21" t="e">
        <f t="shared" ca="1" si="0"/>
        <v>#NUM!</v>
      </c>
      <c r="G21" s="5">
        <f>E21</f>
        <v>46755</v>
      </c>
      <c r="H21" s="10">
        <f t="shared" ca="1" si="1"/>
        <v>46317</v>
      </c>
      <c r="I21">
        <f t="shared" ca="1" si="2"/>
        <v>-438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high performer</vt:lpstr>
      <vt:lpstr>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Pranami</dc:creator>
  <cp:lastModifiedBy>Raj Pranami</cp:lastModifiedBy>
  <dcterms:created xsi:type="dcterms:W3CDTF">2026-10-22T05:40:08Z</dcterms:created>
  <dcterms:modified xsi:type="dcterms:W3CDTF">2026-10-22T07:51:15Z</dcterms:modified>
</cp:coreProperties>
</file>